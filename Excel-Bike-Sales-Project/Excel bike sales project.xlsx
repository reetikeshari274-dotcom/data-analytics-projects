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 defaultThemeVersion="166925"/>
  <xr:revisionPtr revIDLastSave="901" documentId="11_E60897F41BE170836B02CE998F75CCDC64E183C8" xr6:coauthVersionLast="47" xr6:coauthVersionMax="47" xr10:uidLastSave="{E5ED4B3C-C815-48E3-AD14-1C6FC5782F74}"/>
  <bookViews>
    <workbookView xWindow="240" yWindow="105" windowWidth="14805" windowHeight="8010" xr2:uid="{00000000-000D-0000-FFFF-FFFF00000000}"/>
  </bookViews>
  <sheets>
    <sheet name="Working sheet" sheetId="2" r:id="rId1"/>
    <sheet name="Pivot tables" sheetId="4" r:id="rId2"/>
    <sheet name="Dashboard" sheetId="3" r:id="rId3"/>
  </sheets>
  <definedNames>
    <definedName name="_xlnm._FilterDatabase" localSheetId="0" hidden="1">'Working sheet'!$A$1:$N$1</definedName>
  </definedNames>
  <calcPr calcId="191028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" i="2"/>
</calcChain>
</file>

<file path=xl/sharedStrings.xml><?xml version="1.0" encoding="utf-8"?>
<sst xmlns="http://schemas.openxmlformats.org/spreadsheetml/2006/main" count="238" uniqueCount="45">
  <si>
    <t>ID</t>
  </si>
  <si>
    <t>Married or single</t>
  </si>
  <si>
    <t>Gender</t>
  </si>
  <si>
    <t>Income</t>
  </si>
  <si>
    <t>Children</t>
  </si>
  <si>
    <t>Education</t>
  </si>
  <si>
    <t>Occupation</t>
  </si>
  <si>
    <t xml:space="preserve">Home owner </t>
  </si>
  <si>
    <t>Cars</t>
  </si>
  <si>
    <t>Commute Distance</t>
  </si>
  <si>
    <t>Region</t>
  </si>
  <si>
    <t>Ages</t>
  </si>
  <si>
    <t>Ages bracket</t>
  </si>
  <si>
    <t>Purchased bike</t>
  </si>
  <si>
    <t>Married</t>
  </si>
  <si>
    <t>Male</t>
  </si>
  <si>
    <t xml:space="preserve"> partial college</t>
  </si>
  <si>
    <t>Skilled Manual</t>
  </si>
  <si>
    <t>Yes</t>
  </si>
  <si>
    <t>0-1 miles</t>
  </si>
  <si>
    <t>Pacific</t>
  </si>
  <si>
    <t>No</t>
  </si>
  <si>
    <t>Single</t>
  </si>
  <si>
    <t>Female</t>
  </si>
  <si>
    <t>partial high school</t>
  </si>
  <si>
    <t>Clerical</t>
  </si>
  <si>
    <t>Europe</t>
  </si>
  <si>
    <t>high school</t>
  </si>
  <si>
    <t>2-5 miles</t>
  </si>
  <si>
    <t>Professional</t>
  </si>
  <si>
    <t>5-10 miles</t>
  </si>
  <si>
    <t>partial college</t>
  </si>
  <si>
    <t xml:space="preserve">Manual </t>
  </si>
  <si>
    <t>1-2 miles</t>
  </si>
  <si>
    <t>bachelors</t>
  </si>
  <si>
    <t>Management</t>
  </si>
  <si>
    <t>More than 10 miles</t>
  </si>
  <si>
    <t>Average of Income</t>
  </si>
  <si>
    <t>Grand Total</t>
  </si>
  <si>
    <t>Count of Purchased bike</t>
  </si>
  <si>
    <t>Adolescents</t>
  </si>
  <si>
    <t>Middle Age</t>
  </si>
  <si>
    <t>Old</t>
  </si>
  <si>
    <t xml:space="preserve">  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</si>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</sst>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??_);_(@_)"/>
    <numFmt numFmtId="165" formatCode="&quot;$&quot;#,##0.00"/>
    <numFmt numFmtId="166" formatCode="_(* #,##0_);_(* \(#,##0\);_(* &quot;-&quot;??_);_(@_)"/>
  </numFmts>
  <fonts count="4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48"/>
      <color rgb="FFFFFFFF"/>
      <name val="Calibri"/>
      <scheme val="minor"/>
    </font>
    <font>
      <sz val="72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/>
    <xf numFmtId="165" fontId="0" fillId="0" borderId="0" xfId="0" applyNumberFormat="1"/>
    <xf numFmtId="16" fontId="0" fillId="0" borderId="0" xfId="0" applyNumberFormat="1"/>
    <xf numFmtId="166" fontId="0" fillId="0" borderId="0" xfId="0" applyNumberFormat="1"/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numFmt numFmtId="166" formatCode="_(* #,##0_);_(* \(#,##0\);_(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bike sales project.xlsx]Pivot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tables'!$B$3:$B$5</c:f>
              <c:numCache>
                <c:formatCode>_(* #,##0_);_(* \(#,##0\);_(* "-"??_);_(@_)</c:formatCode>
                <c:ptCount val="2"/>
                <c:pt idx="0">
                  <c:v>64600</c:v>
                </c:pt>
                <c:pt idx="1">
                  <c:v>50500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7-4CED-B587-6ACB23E7F6E6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tables'!$C$3:$C$5</c:f>
              <c:numCache>
                <c:formatCode>_(* #,##0_);_(* \(#,##0\);_(* "-"??_);_(@_)</c:formatCode>
                <c:ptCount val="2"/>
                <c:pt idx="0">
                  <c:v>44571.428571428572</c:v>
                </c:pt>
                <c:pt idx="1">
                  <c:v>65400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7-4CED-B587-6ACB23E7F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204935"/>
        <c:axId val="1798212615"/>
      </c:barChart>
      <c:catAx>
        <c:axId val="179820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12615"/>
        <c:crosses val="autoZero"/>
        <c:auto val="1"/>
        <c:lblAlgn val="ctr"/>
        <c:lblOffset val="100"/>
        <c:noMultiLvlLbl val="0"/>
      </c:catAx>
      <c:valAx>
        <c:axId val="179821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04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bike sales project.xlsx]Pivot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tables'!$B$23:$B$28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EC6-B558-9D87120BF2A7}"/>
            </c:ext>
          </c:extLst>
        </c:ser>
        <c:ser>
          <c:idx val="1"/>
          <c:order val="1"/>
          <c:tx>
            <c:strRef>
              <c:f>'Pivot tables'!$C$21:$C$22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tables'!$C$23:$C$28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01-4EC6-B558-9D87120BF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436296"/>
        <c:axId val="1895438344"/>
      </c:lineChart>
      <c:catAx>
        <c:axId val="189543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38344"/>
        <c:crosses val="autoZero"/>
        <c:auto val="1"/>
        <c:lblAlgn val="ctr"/>
        <c:lblOffset val="100"/>
        <c:noMultiLvlLbl val="0"/>
      </c:catAx>
      <c:valAx>
        <c:axId val="189543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3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bike sales project.xlsx]Pivot tables!PivotTable3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tables'!$A$43:$A$46</c:f>
              <c:strCache>
                <c:ptCount val="3"/>
                <c:pt idx="0">
                  <c:v>Adolescents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tables'!$B$43:$B$46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F-45E2-AAAE-AC3980749F35}"/>
            </c:ext>
          </c:extLst>
        </c:ser>
        <c:ser>
          <c:idx val="1"/>
          <c:order val="1"/>
          <c:tx>
            <c:strRef>
              <c:f>'Pivot tables'!$C$41:$C$42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tables'!$A$43:$A$46</c:f>
              <c:strCache>
                <c:ptCount val="3"/>
                <c:pt idx="0">
                  <c:v>Adolescents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tables'!$C$43:$C$46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BF-45E2-AAAE-AC3980749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566023"/>
        <c:axId val="565238279"/>
      </c:lineChart>
      <c:catAx>
        <c:axId val="56456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38279"/>
        <c:crosses val="autoZero"/>
        <c:auto val="1"/>
        <c:lblAlgn val="ctr"/>
        <c:lblOffset val="100"/>
        <c:noMultiLvlLbl val="0"/>
      </c:catAx>
      <c:valAx>
        <c:axId val="565238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6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bike sales project.xlsx]Pivot tables!PivotTable4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tables'!$B$64:$B$65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tables'!$A$66:$A$81</c:f>
              <c:strCache>
                <c:ptCount val="15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29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43</c:v>
                </c:pt>
                <c:pt idx="9">
                  <c:v>54</c:v>
                </c:pt>
                <c:pt idx="10">
                  <c:v>56</c:v>
                </c:pt>
                <c:pt idx="11">
                  <c:v>57</c:v>
                </c:pt>
                <c:pt idx="12">
                  <c:v>59</c:v>
                </c:pt>
                <c:pt idx="13">
                  <c:v>67</c:v>
                </c:pt>
                <c:pt idx="14">
                  <c:v>76</c:v>
                </c:pt>
              </c:strCache>
            </c:strRef>
          </c:cat>
          <c:val>
            <c:numRef>
              <c:f>'Pivot tables'!$B$66:$B$81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4-45F3-ADA8-A8DDE658DBA1}"/>
            </c:ext>
          </c:extLst>
        </c:ser>
        <c:ser>
          <c:idx val="1"/>
          <c:order val="1"/>
          <c:tx>
            <c:strRef>
              <c:f>'Pivot tables'!$C$64:$C$65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tables'!$A$66:$A$81</c:f>
              <c:strCache>
                <c:ptCount val="15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29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43</c:v>
                </c:pt>
                <c:pt idx="9">
                  <c:v>54</c:v>
                </c:pt>
                <c:pt idx="10">
                  <c:v>56</c:v>
                </c:pt>
                <c:pt idx="11">
                  <c:v>57</c:v>
                </c:pt>
                <c:pt idx="12">
                  <c:v>59</c:v>
                </c:pt>
                <c:pt idx="13">
                  <c:v>67</c:v>
                </c:pt>
                <c:pt idx="14">
                  <c:v>76</c:v>
                </c:pt>
              </c:strCache>
            </c:strRef>
          </c:cat>
          <c:val>
            <c:numRef>
              <c:f>'Pivot tables'!$C$66:$C$81</c:f>
              <c:numCache>
                <c:formatCode>General</c:formatCode>
                <c:ptCount val="15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F4-45F3-ADA8-A8DDE658D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451144"/>
        <c:axId val="565405191"/>
      </c:lineChart>
      <c:catAx>
        <c:axId val="189545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05191"/>
        <c:crosses val="autoZero"/>
        <c:auto val="1"/>
        <c:lblAlgn val="ctr"/>
        <c:lblOffset val="100"/>
        <c:noMultiLvlLbl val="0"/>
      </c:catAx>
      <c:valAx>
        <c:axId val="56540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5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bike sales project.xlsx]Pivot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tables'!$B$3:$B$5</c:f>
              <c:numCache>
                <c:formatCode>_(* #,##0_);_(* \(#,##0\);_(* "-"??_);_(@_)</c:formatCode>
                <c:ptCount val="2"/>
                <c:pt idx="0">
                  <c:v>64600</c:v>
                </c:pt>
                <c:pt idx="1">
                  <c:v>50500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B-4527-B8AB-1CD005C46DB8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tables'!$C$3:$C$5</c:f>
              <c:numCache>
                <c:formatCode>_(* #,##0_);_(* \(#,##0\);_(* "-"??_);_(@_)</c:formatCode>
                <c:ptCount val="2"/>
                <c:pt idx="0">
                  <c:v>44571.428571428572</c:v>
                </c:pt>
                <c:pt idx="1">
                  <c:v>65400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B-4527-B8AB-1CD005C4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204935"/>
        <c:axId val="1798212615"/>
      </c:barChart>
      <c:catAx>
        <c:axId val="179820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12615"/>
        <c:crosses val="autoZero"/>
        <c:auto val="1"/>
        <c:lblAlgn val="ctr"/>
        <c:lblOffset val="100"/>
        <c:noMultiLvlLbl val="0"/>
      </c:catAx>
      <c:valAx>
        <c:axId val="179821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04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bike sales project.xlsx]Pivot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tables'!$B$23:$B$28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FA-4575-9A54-4C913BEBBF9E}"/>
            </c:ext>
          </c:extLst>
        </c:ser>
        <c:ser>
          <c:idx val="1"/>
          <c:order val="1"/>
          <c:tx>
            <c:strRef>
              <c:f>'Pivot tables'!$C$21:$C$22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tables'!$C$23:$C$28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FA-4575-9A54-4C913BEBB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436296"/>
        <c:axId val="1895438344"/>
      </c:lineChart>
      <c:catAx>
        <c:axId val="189543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38344"/>
        <c:crosses val="autoZero"/>
        <c:auto val="1"/>
        <c:lblAlgn val="ctr"/>
        <c:lblOffset val="100"/>
        <c:noMultiLvlLbl val="0"/>
      </c:catAx>
      <c:valAx>
        <c:axId val="189543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3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bike sales project.xlsx]Pivot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tables'!$A$43:$A$46</c:f>
              <c:strCache>
                <c:ptCount val="3"/>
                <c:pt idx="0">
                  <c:v>Adolescents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tables'!$B$43:$B$46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C-472A-ADC9-38E4077AFC9A}"/>
            </c:ext>
          </c:extLst>
        </c:ser>
        <c:ser>
          <c:idx val="1"/>
          <c:order val="1"/>
          <c:tx>
            <c:strRef>
              <c:f>'Pivot tables'!$C$41:$C$42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tables'!$A$43:$A$46</c:f>
              <c:strCache>
                <c:ptCount val="3"/>
                <c:pt idx="0">
                  <c:v>Adolescents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tables'!$C$43:$C$46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0C-472A-ADC9-38E4077AF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566023"/>
        <c:axId val="565238279"/>
      </c:lineChart>
      <c:catAx>
        <c:axId val="56456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38279"/>
        <c:crosses val="autoZero"/>
        <c:auto val="1"/>
        <c:lblAlgn val="ctr"/>
        <c:lblOffset val="100"/>
        <c:noMultiLvlLbl val="0"/>
      </c:catAx>
      <c:valAx>
        <c:axId val="565238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6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14</xdr:col>
      <xdr:colOff>733425</xdr:colOff>
      <xdr:row>14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F2910E-F0F6-6AF4-17D7-0D871E048CE9}"/>
            </a:ext>
            <a:ext uri="{147F2762-F138-4A5C-976F-8EAC2B608ADB}">
              <a16:predDERef xmlns:a16="http://schemas.microsoft.com/office/drawing/2014/main" pred="{A47BB241-0B3D-68BA-91DF-29938FDF6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20</xdr:row>
      <xdr:rowOff>9525</xdr:rowOff>
    </xdr:from>
    <xdr:to>
      <xdr:col>14</xdr:col>
      <xdr:colOff>733425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48CF06-E467-3213-EBBF-DC317FEBE16F}"/>
            </a:ext>
            <a:ext uri="{147F2762-F138-4A5C-976F-8EAC2B608ADB}">
              <a16:predDERef xmlns:a16="http://schemas.microsoft.com/office/drawing/2014/main" pred="{D3F2910E-F0F6-6AF4-17D7-0D871E048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39</xdr:row>
      <xdr:rowOff>161925</xdr:rowOff>
    </xdr:from>
    <xdr:to>
      <xdr:col>14</xdr:col>
      <xdr:colOff>723900</xdr:colOff>
      <xdr:row>54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BFEF57-6EB4-1C67-FEBB-21E2136C6D08}"/>
            </a:ext>
            <a:ext uri="{147F2762-F138-4A5C-976F-8EAC2B608ADB}">
              <a16:predDERef xmlns:a16="http://schemas.microsoft.com/office/drawing/2014/main" pred="{7148CF06-E467-3213-EBBF-DC317FEBE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28575</xdr:colOff>
      <xdr:row>64</xdr:row>
      <xdr:rowOff>9525</xdr:rowOff>
    </xdr:from>
    <xdr:to>
      <xdr:col>14</xdr:col>
      <xdr:colOff>752475</xdr:colOff>
      <xdr:row>78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4F9B7C-9DE6-1180-8571-5ED0B14CCEDA}"/>
            </a:ext>
            <a:ext uri="{147F2762-F138-4A5C-976F-8EAC2B608ADB}">
              <a16:predDERef xmlns:a16="http://schemas.microsoft.com/office/drawing/2014/main" pred="{38BFEF57-6EB4-1C67-FEBB-21E2136C6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7</xdr:row>
      <xdr:rowOff>28575</xdr:rowOff>
    </xdr:from>
    <xdr:to>
      <xdr:col>7</xdr:col>
      <xdr:colOff>333375</xdr:colOff>
      <xdr:row>19</xdr:row>
      <xdr:rowOff>19050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F0B35FB-9EF9-4ED0-A849-0E8E295BBCBA}"/>
            </a:ext>
            <a:ext uri="{147F2762-F138-4A5C-976F-8EAC2B608ADB}">
              <a16:predDERef xmlns:a16="http://schemas.microsoft.com/office/drawing/2014/main" pred="{A47BB241-0B3D-68BA-91DF-29938FDF6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419100</xdr:colOff>
      <xdr:row>18</xdr:row>
      <xdr:rowOff>180975</xdr:rowOff>
    </xdr:from>
    <xdr:to>
      <xdr:col>14</xdr:col>
      <xdr:colOff>257175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47FE1-D181-4F24-94EF-FF046CAD0F10}"/>
            </a:ext>
            <a:ext uri="{147F2762-F138-4A5C-976F-8EAC2B608ADB}">
              <a16:predDERef xmlns:a16="http://schemas.microsoft.com/office/drawing/2014/main" pred="{3F0B35FB-9EF9-4ED0-A849-0E8E295BB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7</xdr:row>
      <xdr:rowOff>9525</xdr:rowOff>
    </xdr:from>
    <xdr:to>
      <xdr:col>14</xdr:col>
      <xdr:colOff>257175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90F9AE-93AE-491A-AB5E-B0ED4A733C09}"/>
            </a:ext>
            <a:ext uri="{147F2762-F138-4A5C-976F-8EAC2B608ADB}">
              <a16:predDERef xmlns:a16="http://schemas.microsoft.com/office/drawing/2014/main" pred="{DD147FE1-D181-4F24-94EF-FF046CAD0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657554282407" createdVersion="8" refreshedVersion="8" minRefreshableVersion="3" recordCount="23" xr:uid="{4C81F611-6574-477B-8DE8-851983D27683}">
  <cacheSource type="worksheet">
    <worksheetSource ref="A1:N24" sheet="Working sheet"/>
  </cacheSource>
  <cacheFields count="14">
    <cacheField name="ID" numFmtId="0">
      <sharedItems containsSemiMixedTypes="0" containsString="0" containsNumber="1" containsInteger="1" minValue="4864" maxValue="98765"/>
    </cacheField>
    <cacheField name="Married or single" numFmtId="0">
      <sharedItems/>
    </cacheField>
    <cacheField name="Gender" numFmtId="0">
      <sharedItems count="2">
        <s v="Male"/>
        <s v="Female"/>
      </sharedItems>
    </cacheField>
    <cacheField name="Income" numFmtId="165">
      <sharedItems containsSemiMixedTypes="0" containsString="0" containsNumber="1" containsInteger="1" minValue="10000" maxValue="90000"/>
    </cacheField>
    <cacheField name="Children" numFmtId="0">
      <sharedItems containsSemiMixedTypes="0" containsString="0" containsNumber="1" containsInteger="1" minValue="0" maxValue="3"/>
    </cacheField>
    <cacheField name="Education" numFmtId="0">
      <sharedItems/>
    </cacheField>
    <cacheField name="Occupation" numFmtId="0">
      <sharedItems/>
    </cacheField>
    <cacheField name="Home owner " numFmtId="0">
      <sharedItems/>
    </cacheField>
    <cacheField name="Cars" numFmtId="0">
      <sharedItems containsSemiMixedTypes="0" containsString="0" containsNumber="1" containsInteger="1" minValue="0" maxValue="3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s" numFmtId="0">
      <sharedItems containsSemiMixedTypes="0" containsString="0" containsNumber="1" containsInteger="1" minValue="21" maxValue="76" count="15">
        <n v="54"/>
        <n v="34"/>
        <n v="29"/>
        <n v="56"/>
        <n v="22"/>
        <n v="43"/>
        <n v="67"/>
        <n v="21"/>
        <n v="76"/>
        <n v="35"/>
        <n v="36"/>
        <n v="37"/>
        <n v="23"/>
        <n v="57"/>
        <n v="59"/>
      </sharedItems>
    </cacheField>
    <cacheField name="Ages bracket" numFmtId="0">
      <sharedItems count="3">
        <s v="Middle Age"/>
        <s v="Adolescents"/>
        <s v="Old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2496"/>
    <s v="Married"/>
    <x v="0"/>
    <n v="40000"/>
    <n v="2"/>
    <s v=" partial college"/>
    <s v="Skilled Manual"/>
    <s v="Yes"/>
    <n v="1"/>
    <x v="0"/>
    <s v="Pacific"/>
    <x v="0"/>
    <x v="0"/>
    <x v="0"/>
  </r>
  <r>
    <n v="12445"/>
    <s v="Single"/>
    <x v="1"/>
    <n v="30000"/>
    <n v="0"/>
    <s v="partial high school"/>
    <s v="Clerical"/>
    <s v="Yes"/>
    <n v="0"/>
    <x v="0"/>
    <s v="Europe"/>
    <x v="1"/>
    <x v="0"/>
    <x v="1"/>
  </r>
  <r>
    <n v="34873"/>
    <s v="Single"/>
    <x v="1"/>
    <n v="10000"/>
    <n v="0"/>
    <s v="high school"/>
    <s v="Clerical"/>
    <s v="Yes"/>
    <n v="0"/>
    <x v="1"/>
    <s v="Pacific"/>
    <x v="2"/>
    <x v="1"/>
    <x v="1"/>
  </r>
  <r>
    <n v="54537"/>
    <s v="Single"/>
    <x v="1"/>
    <n v="80000"/>
    <n v="0"/>
    <s v="high school"/>
    <s v="Professional"/>
    <s v="No"/>
    <n v="0"/>
    <x v="2"/>
    <s v="Pacific"/>
    <x v="3"/>
    <x v="2"/>
    <x v="0"/>
  </r>
  <r>
    <n v="78954"/>
    <s v="Single"/>
    <x v="1"/>
    <n v="56000"/>
    <n v="0"/>
    <s v="partial college"/>
    <s v="Manual "/>
    <s v="No"/>
    <n v="0"/>
    <x v="0"/>
    <s v="Pacific"/>
    <x v="0"/>
    <x v="0"/>
    <x v="1"/>
  </r>
  <r>
    <n v="85473"/>
    <s v="Married"/>
    <x v="1"/>
    <n v="43000"/>
    <n v="1"/>
    <s v="partial college"/>
    <s v="Manual "/>
    <s v="Yes"/>
    <n v="1"/>
    <x v="3"/>
    <s v="Europe"/>
    <x v="0"/>
    <x v="0"/>
    <x v="0"/>
  </r>
  <r>
    <n v="46657"/>
    <s v="Married"/>
    <x v="0"/>
    <n v="34000"/>
    <n v="1"/>
    <s v="bachelors"/>
    <s v="Manual "/>
    <s v="Yes"/>
    <n v="1"/>
    <x v="0"/>
    <s v="Europe"/>
    <x v="3"/>
    <x v="2"/>
    <x v="1"/>
  </r>
  <r>
    <n v="23466"/>
    <s v="Married"/>
    <x v="0"/>
    <n v="32000"/>
    <n v="0"/>
    <s v="bachelors"/>
    <s v="Clerical"/>
    <s v="Yes"/>
    <n v="0"/>
    <x v="0"/>
    <s v="Pacific"/>
    <x v="4"/>
    <x v="1"/>
    <x v="0"/>
  </r>
  <r>
    <n v="57668"/>
    <s v="Married"/>
    <x v="0"/>
    <n v="90000"/>
    <n v="2"/>
    <s v="partial high school"/>
    <s v="Clerical"/>
    <s v="No"/>
    <n v="2"/>
    <x v="2"/>
    <s v="Europe"/>
    <x v="5"/>
    <x v="0"/>
    <x v="1"/>
  </r>
  <r>
    <n v="56464"/>
    <s v="Single"/>
    <x v="0"/>
    <n v="79000"/>
    <n v="0"/>
    <s v="high school"/>
    <s v="Management"/>
    <s v="No"/>
    <n v="0"/>
    <x v="0"/>
    <s v="Pacific"/>
    <x v="3"/>
    <x v="2"/>
    <x v="0"/>
  </r>
  <r>
    <n v="4864"/>
    <s v="Single"/>
    <x v="0"/>
    <n v="67000"/>
    <n v="0"/>
    <s v="bachelors"/>
    <s v="Management"/>
    <s v="Yes"/>
    <n v="0"/>
    <x v="3"/>
    <s v="Europe"/>
    <x v="0"/>
    <x v="0"/>
    <x v="1"/>
  </r>
  <r>
    <n v="45688"/>
    <s v="Married"/>
    <x v="0"/>
    <n v="56000"/>
    <n v="3"/>
    <s v="partial college"/>
    <s v="Skilled Manual"/>
    <s v="No"/>
    <n v="3"/>
    <x v="4"/>
    <s v="Pacific"/>
    <x v="6"/>
    <x v="2"/>
    <x v="0"/>
  </r>
  <r>
    <n v="89765"/>
    <s v="Single"/>
    <x v="0"/>
    <n v="76000"/>
    <n v="0"/>
    <s v="bachelors"/>
    <s v="Skilled Manual"/>
    <s v="Yes"/>
    <n v="0"/>
    <x v="0"/>
    <s v="Pacific"/>
    <x v="0"/>
    <x v="0"/>
    <x v="0"/>
  </r>
  <r>
    <n v="65443"/>
    <s v="Married"/>
    <x v="1"/>
    <n v="66000"/>
    <n v="1"/>
    <s v="bachelors"/>
    <s v="Professional"/>
    <s v="No"/>
    <n v="1"/>
    <x v="3"/>
    <s v="Pacific"/>
    <x v="7"/>
    <x v="1"/>
    <x v="1"/>
  </r>
  <r>
    <n v="45757"/>
    <s v="Married"/>
    <x v="1"/>
    <n v="70000"/>
    <n v="0"/>
    <s v="high school"/>
    <s v="Professional"/>
    <s v="Yes"/>
    <n v="0"/>
    <x v="0"/>
    <s v="Europe"/>
    <x v="8"/>
    <x v="2"/>
    <x v="0"/>
  </r>
  <r>
    <n v="80987"/>
    <s v="Single"/>
    <x v="1"/>
    <n v="50000"/>
    <n v="0"/>
    <s v="bachelors"/>
    <s v="Professional"/>
    <s v="No"/>
    <n v="0"/>
    <x v="0"/>
    <s v="Europe"/>
    <x v="9"/>
    <x v="0"/>
    <x v="1"/>
  </r>
  <r>
    <n v="32443"/>
    <s v="Single"/>
    <x v="1"/>
    <n v="40000"/>
    <n v="0"/>
    <s v="high school"/>
    <s v="Clerical"/>
    <s v="Yes"/>
    <n v="0"/>
    <x v="3"/>
    <s v="Europe"/>
    <x v="10"/>
    <x v="0"/>
    <x v="0"/>
  </r>
  <r>
    <n v="56546"/>
    <s v="Married"/>
    <x v="1"/>
    <n v="30000"/>
    <n v="0"/>
    <s v="partial high school"/>
    <s v="Clerical"/>
    <s v="Yes"/>
    <n v="0"/>
    <x v="0"/>
    <s v="Pacific"/>
    <x v="11"/>
    <x v="0"/>
    <x v="1"/>
  </r>
  <r>
    <n v="67543"/>
    <s v="Married"/>
    <x v="0"/>
    <n v="20000"/>
    <n v="2"/>
    <s v="high school"/>
    <s v="Management"/>
    <s v="No"/>
    <n v="2"/>
    <x v="3"/>
    <s v="Pacific"/>
    <x v="12"/>
    <x v="1"/>
    <x v="0"/>
  </r>
  <r>
    <n v="98765"/>
    <s v="Married"/>
    <x v="0"/>
    <n v="80000"/>
    <n v="3"/>
    <s v="bachelors"/>
    <s v="Manual "/>
    <s v="Yes"/>
    <n v="3"/>
    <x v="4"/>
    <s v="Pacific"/>
    <x v="9"/>
    <x v="0"/>
    <x v="1"/>
  </r>
  <r>
    <n v="45321"/>
    <s v="Married"/>
    <x v="1"/>
    <n v="90000"/>
    <n v="2"/>
    <s v="high school"/>
    <s v="Manual "/>
    <s v="No"/>
    <n v="2"/>
    <x v="3"/>
    <s v="Europe"/>
    <x v="13"/>
    <x v="2"/>
    <x v="0"/>
  </r>
  <r>
    <n v="86756"/>
    <s v="Married"/>
    <x v="1"/>
    <n v="70000"/>
    <n v="3"/>
    <s v="partial high school"/>
    <s v="Manual "/>
    <s v="Yes"/>
    <n v="3"/>
    <x v="0"/>
    <s v="Pacific"/>
    <x v="3"/>
    <x v="2"/>
    <x v="1"/>
  </r>
  <r>
    <n v="67565"/>
    <s v="Single"/>
    <x v="0"/>
    <n v="56000"/>
    <n v="0"/>
    <s v="bachelors"/>
    <s v="Manual "/>
    <s v="No"/>
    <n v="0"/>
    <x v="2"/>
    <s v="Europe"/>
    <x v="14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B4922-DF18-411B-AEED-843B7BE04E3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1:D28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DB537-2FF2-4AC4-B35B-EED4D2F50E24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formats count="1">
    <format dxfId="0">
      <pivotArea outline="0" collapsedLevelsAreSubtotals="1" fieldPosition="0"/>
    </format>
  </formats>
  <chartFormats count="1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380E7-0758-4792-BD93-8159FAB0427F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64:D81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7"/>
        <item x="4"/>
        <item x="12"/>
        <item x="2"/>
        <item x="1"/>
        <item x="9"/>
        <item x="10"/>
        <item x="11"/>
        <item x="5"/>
        <item x="0"/>
        <item x="3"/>
        <item x="13"/>
        <item x="14"/>
        <item x="6"/>
        <item x="8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52FEE-4761-4633-8EB3-15B2DE17F79B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41:D46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1"/>
        <item x="0"/>
        <item x="2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D788-D14E-4101-9A2F-81F3C1FC0973}">
  <dimension ref="A1:N37"/>
  <sheetViews>
    <sheetView tabSelected="1" topLeftCell="C1" workbookViewId="0">
      <selection activeCell="M5" sqref="M5"/>
    </sheetView>
  </sheetViews>
  <sheetFormatPr defaultRowHeight="15"/>
  <cols>
    <col min="1" max="1" width="8.28515625" customWidth="1"/>
    <col min="2" max="2" width="15.5703125" customWidth="1"/>
    <col min="3" max="3" width="14.28515625" customWidth="1"/>
    <col min="4" max="4" width="14.7109375" style="7" bestFit="1" customWidth="1"/>
    <col min="5" max="5" width="10.42578125" bestFit="1" customWidth="1"/>
    <col min="6" max="6" width="17.42578125" bestFit="1" customWidth="1"/>
    <col min="7" max="7" width="13" customWidth="1"/>
    <col min="8" max="8" width="14" customWidth="1"/>
    <col min="10" max="10" width="19.7109375" bestFit="1" customWidth="1"/>
    <col min="13" max="13" width="36.5703125" bestFit="1" customWidth="1"/>
    <col min="14" max="14" width="14" bestFit="1" customWidth="1"/>
  </cols>
  <sheetData>
    <row r="1" spans="1:14" ht="19.5" customHeight="1">
      <c r="A1" t="s">
        <v>0</v>
      </c>
      <c r="B1" s="1" t="s">
        <v>1</v>
      </c>
      <c r="C1" t="s">
        <v>2</v>
      </c>
      <c r="D1" s="7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30.75">
      <c r="A2">
        <v>12496</v>
      </c>
      <c r="B2" s="1" t="s">
        <v>14</v>
      </c>
      <c r="C2" t="s">
        <v>15</v>
      </c>
      <c r="D2" s="7">
        <v>40000</v>
      </c>
      <c r="E2">
        <v>2</v>
      </c>
      <c r="F2" t="s">
        <v>16</v>
      </c>
      <c r="G2" s="1" t="s">
        <v>17</v>
      </c>
      <c r="H2" t="s">
        <v>18</v>
      </c>
      <c r="I2">
        <v>1</v>
      </c>
      <c r="J2" t="s">
        <v>19</v>
      </c>
      <c r="K2" t="s">
        <v>20</v>
      </c>
      <c r="L2">
        <v>54</v>
      </c>
      <c r="M2" s="1" t="str">
        <f>IF(L2&gt;54,"Old",IF(L2&gt;=31,"Middle Age",IF(L2&lt;31,"Adolescents","Invalid")))</f>
        <v>Middle Age</v>
      </c>
      <c r="N2" t="s">
        <v>21</v>
      </c>
    </row>
    <row r="3" spans="1:14">
      <c r="A3">
        <v>12445</v>
      </c>
      <c r="B3" t="s">
        <v>22</v>
      </c>
      <c r="C3" t="s">
        <v>23</v>
      </c>
      <c r="D3" s="7">
        <v>30000</v>
      </c>
      <c r="E3" s="1">
        <v>0</v>
      </c>
      <c r="F3" s="1" t="s">
        <v>24</v>
      </c>
      <c r="G3" s="1" t="s">
        <v>25</v>
      </c>
      <c r="H3" t="s">
        <v>18</v>
      </c>
      <c r="I3" s="1">
        <v>0</v>
      </c>
      <c r="J3" t="s">
        <v>19</v>
      </c>
      <c r="K3" t="s">
        <v>26</v>
      </c>
      <c r="L3">
        <v>34</v>
      </c>
      <c r="M3" s="1" t="str">
        <f t="shared" ref="M3:M37" si="0">IF(L3&gt;54,"Old",IF(L3&gt;=31,"Middle Age",IF(L3&lt;31,"Adolescents","Invalid")))</f>
        <v>Middle Age</v>
      </c>
      <c r="N3" t="s">
        <v>18</v>
      </c>
    </row>
    <row r="4" spans="1:14">
      <c r="A4">
        <v>34873</v>
      </c>
      <c r="B4" t="s">
        <v>22</v>
      </c>
      <c r="C4" t="s">
        <v>23</v>
      </c>
      <c r="D4" s="7">
        <v>10000</v>
      </c>
      <c r="E4" s="1">
        <v>0</v>
      </c>
      <c r="F4" s="1" t="s">
        <v>27</v>
      </c>
      <c r="G4" s="1" t="s">
        <v>25</v>
      </c>
      <c r="H4" t="s">
        <v>18</v>
      </c>
      <c r="I4" s="1">
        <v>0</v>
      </c>
      <c r="J4" s="8" t="s">
        <v>28</v>
      </c>
      <c r="K4" t="s">
        <v>20</v>
      </c>
      <c r="L4">
        <v>29</v>
      </c>
      <c r="M4" s="1" t="str">
        <f t="shared" si="0"/>
        <v>Adolescents</v>
      </c>
      <c r="N4" t="s">
        <v>18</v>
      </c>
    </row>
    <row r="5" spans="1:14">
      <c r="A5">
        <v>54537</v>
      </c>
      <c r="B5" t="s">
        <v>22</v>
      </c>
      <c r="C5" t="s">
        <v>23</v>
      </c>
      <c r="D5" s="7">
        <v>80000</v>
      </c>
      <c r="E5" s="1">
        <v>0</v>
      </c>
      <c r="F5" s="1" t="s">
        <v>27</v>
      </c>
      <c r="G5" s="1" t="s">
        <v>29</v>
      </c>
      <c r="H5" t="s">
        <v>21</v>
      </c>
      <c r="I5" s="1">
        <v>0</v>
      </c>
      <c r="J5" s="8" t="s">
        <v>30</v>
      </c>
      <c r="K5" t="s">
        <v>20</v>
      </c>
      <c r="L5">
        <v>56</v>
      </c>
      <c r="M5" s="1" t="str">
        <f t="shared" si="0"/>
        <v>Old</v>
      </c>
      <c r="N5" t="s">
        <v>21</v>
      </c>
    </row>
    <row r="6" spans="1:14">
      <c r="A6">
        <v>78954</v>
      </c>
      <c r="B6" t="s">
        <v>22</v>
      </c>
      <c r="C6" t="s">
        <v>23</v>
      </c>
      <c r="D6" s="7">
        <v>56000</v>
      </c>
      <c r="E6" s="1">
        <v>0</v>
      </c>
      <c r="F6" s="1" t="s">
        <v>31</v>
      </c>
      <c r="G6" s="1" t="s">
        <v>32</v>
      </c>
      <c r="H6" t="s">
        <v>21</v>
      </c>
      <c r="I6" s="1">
        <v>0</v>
      </c>
      <c r="J6" t="s">
        <v>19</v>
      </c>
      <c r="K6" t="s">
        <v>20</v>
      </c>
      <c r="L6">
        <v>54</v>
      </c>
      <c r="M6" s="1" t="str">
        <f t="shared" si="0"/>
        <v>Middle Age</v>
      </c>
      <c r="N6" t="s">
        <v>18</v>
      </c>
    </row>
    <row r="7" spans="1:14">
      <c r="A7">
        <v>85473</v>
      </c>
      <c r="B7" t="s">
        <v>14</v>
      </c>
      <c r="C7" t="s">
        <v>23</v>
      </c>
      <c r="D7" s="7">
        <v>43000</v>
      </c>
      <c r="E7" s="1">
        <v>1</v>
      </c>
      <c r="F7" s="1" t="s">
        <v>31</v>
      </c>
      <c r="G7" s="1" t="s">
        <v>32</v>
      </c>
      <c r="H7" t="s">
        <v>18</v>
      </c>
      <c r="I7" s="1">
        <v>1</v>
      </c>
      <c r="J7" t="s">
        <v>33</v>
      </c>
      <c r="K7" t="s">
        <v>26</v>
      </c>
      <c r="L7">
        <v>54</v>
      </c>
      <c r="M7" s="1" t="str">
        <f t="shared" si="0"/>
        <v>Middle Age</v>
      </c>
      <c r="N7" t="s">
        <v>21</v>
      </c>
    </row>
    <row r="8" spans="1:14">
      <c r="A8">
        <v>46657</v>
      </c>
      <c r="B8" t="s">
        <v>14</v>
      </c>
      <c r="C8" t="s">
        <v>15</v>
      </c>
      <c r="D8" s="7">
        <v>34000</v>
      </c>
      <c r="E8" s="1">
        <v>1</v>
      </c>
      <c r="F8" s="1" t="s">
        <v>34</v>
      </c>
      <c r="G8" s="1" t="s">
        <v>32</v>
      </c>
      <c r="H8" t="s">
        <v>18</v>
      </c>
      <c r="I8" s="1">
        <v>1</v>
      </c>
      <c r="J8" t="s">
        <v>19</v>
      </c>
      <c r="K8" t="s">
        <v>26</v>
      </c>
      <c r="L8">
        <v>56</v>
      </c>
      <c r="M8" s="1" t="str">
        <f t="shared" si="0"/>
        <v>Old</v>
      </c>
      <c r="N8" t="s">
        <v>18</v>
      </c>
    </row>
    <row r="9" spans="1:14">
      <c r="A9">
        <v>23466</v>
      </c>
      <c r="B9" t="s">
        <v>14</v>
      </c>
      <c r="C9" t="s">
        <v>15</v>
      </c>
      <c r="D9" s="7">
        <v>32000</v>
      </c>
      <c r="E9" s="1">
        <v>0</v>
      </c>
      <c r="F9" s="1" t="s">
        <v>34</v>
      </c>
      <c r="G9" s="1" t="s">
        <v>25</v>
      </c>
      <c r="H9" t="s">
        <v>18</v>
      </c>
      <c r="I9" s="1">
        <v>0</v>
      </c>
      <c r="J9" t="s">
        <v>19</v>
      </c>
      <c r="K9" t="s">
        <v>20</v>
      </c>
      <c r="L9">
        <v>22</v>
      </c>
      <c r="M9" s="1" t="str">
        <f t="shared" si="0"/>
        <v>Adolescents</v>
      </c>
      <c r="N9" t="s">
        <v>21</v>
      </c>
    </row>
    <row r="10" spans="1:14">
      <c r="A10">
        <v>57668</v>
      </c>
      <c r="B10" t="s">
        <v>14</v>
      </c>
      <c r="C10" t="s">
        <v>15</v>
      </c>
      <c r="D10" s="7">
        <v>90000</v>
      </c>
      <c r="E10" s="1">
        <v>2</v>
      </c>
      <c r="F10" s="1" t="s">
        <v>24</v>
      </c>
      <c r="G10" s="1" t="s">
        <v>25</v>
      </c>
      <c r="H10" t="s">
        <v>21</v>
      </c>
      <c r="I10" s="1">
        <v>2</v>
      </c>
      <c r="J10" t="s">
        <v>30</v>
      </c>
      <c r="K10" t="s">
        <v>26</v>
      </c>
      <c r="L10">
        <v>43</v>
      </c>
      <c r="M10" s="1" t="str">
        <f t="shared" si="0"/>
        <v>Middle Age</v>
      </c>
      <c r="N10" t="s">
        <v>18</v>
      </c>
    </row>
    <row r="11" spans="1:14">
      <c r="A11">
        <v>56464</v>
      </c>
      <c r="B11" t="s">
        <v>22</v>
      </c>
      <c r="C11" t="s">
        <v>15</v>
      </c>
      <c r="D11" s="7">
        <v>79000</v>
      </c>
      <c r="E11" s="1">
        <v>0</v>
      </c>
      <c r="F11" s="1" t="s">
        <v>27</v>
      </c>
      <c r="G11" s="1" t="s">
        <v>35</v>
      </c>
      <c r="H11" t="s">
        <v>21</v>
      </c>
      <c r="I11" s="1">
        <v>0</v>
      </c>
      <c r="J11" t="s">
        <v>19</v>
      </c>
      <c r="K11" t="s">
        <v>20</v>
      </c>
      <c r="L11">
        <v>56</v>
      </c>
      <c r="M11" s="1" t="str">
        <f t="shared" si="0"/>
        <v>Old</v>
      </c>
      <c r="N11" t="s">
        <v>21</v>
      </c>
    </row>
    <row r="12" spans="1:14">
      <c r="A12">
        <v>4864</v>
      </c>
      <c r="B12" t="s">
        <v>22</v>
      </c>
      <c r="C12" t="s">
        <v>15</v>
      </c>
      <c r="D12" s="7">
        <v>67000</v>
      </c>
      <c r="E12" s="1">
        <v>0</v>
      </c>
      <c r="F12" s="1" t="s">
        <v>34</v>
      </c>
      <c r="G12" s="1" t="s">
        <v>35</v>
      </c>
      <c r="H12" t="s">
        <v>18</v>
      </c>
      <c r="I12" s="1">
        <v>0</v>
      </c>
      <c r="J12" t="s">
        <v>33</v>
      </c>
      <c r="K12" t="s">
        <v>26</v>
      </c>
      <c r="L12">
        <v>54</v>
      </c>
      <c r="M12" s="1" t="str">
        <f t="shared" si="0"/>
        <v>Middle Age</v>
      </c>
      <c r="N12" t="s">
        <v>18</v>
      </c>
    </row>
    <row r="13" spans="1:14" ht="30.75">
      <c r="A13">
        <v>45688</v>
      </c>
      <c r="B13" t="s">
        <v>14</v>
      </c>
      <c r="C13" t="s">
        <v>15</v>
      </c>
      <c r="D13" s="7">
        <v>56000</v>
      </c>
      <c r="E13">
        <v>3</v>
      </c>
      <c r="F13" t="s">
        <v>31</v>
      </c>
      <c r="G13" s="1" t="s">
        <v>17</v>
      </c>
      <c r="H13" t="s">
        <v>21</v>
      </c>
      <c r="I13">
        <v>3</v>
      </c>
      <c r="J13" t="s">
        <v>36</v>
      </c>
      <c r="K13" t="s">
        <v>20</v>
      </c>
      <c r="L13">
        <v>67</v>
      </c>
      <c r="M13" s="1" t="str">
        <f t="shared" si="0"/>
        <v>Old</v>
      </c>
      <c r="N13" t="s">
        <v>21</v>
      </c>
    </row>
    <row r="14" spans="1:14" ht="30.75">
      <c r="A14">
        <v>89765</v>
      </c>
      <c r="B14" t="s">
        <v>22</v>
      </c>
      <c r="C14" t="s">
        <v>15</v>
      </c>
      <c r="D14" s="7">
        <v>76000</v>
      </c>
      <c r="E14">
        <v>0</v>
      </c>
      <c r="F14" t="s">
        <v>34</v>
      </c>
      <c r="G14" s="1" t="s">
        <v>17</v>
      </c>
      <c r="H14" t="s">
        <v>18</v>
      </c>
      <c r="I14">
        <v>0</v>
      </c>
      <c r="J14" t="s">
        <v>19</v>
      </c>
      <c r="K14" t="s">
        <v>20</v>
      </c>
      <c r="L14">
        <v>54</v>
      </c>
      <c r="M14" s="1" t="str">
        <f t="shared" si="0"/>
        <v>Middle Age</v>
      </c>
      <c r="N14" t="s">
        <v>21</v>
      </c>
    </row>
    <row r="15" spans="1:14">
      <c r="A15">
        <v>65443</v>
      </c>
      <c r="B15" t="s">
        <v>14</v>
      </c>
      <c r="C15" t="s">
        <v>23</v>
      </c>
      <c r="D15" s="7">
        <v>66000</v>
      </c>
      <c r="E15">
        <v>1</v>
      </c>
      <c r="F15" t="s">
        <v>34</v>
      </c>
      <c r="G15" s="1" t="s">
        <v>29</v>
      </c>
      <c r="H15" t="s">
        <v>21</v>
      </c>
      <c r="I15">
        <v>1</v>
      </c>
      <c r="J15" t="s">
        <v>33</v>
      </c>
      <c r="K15" t="s">
        <v>20</v>
      </c>
      <c r="L15">
        <v>21</v>
      </c>
      <c r="M15" s="1" t="str">
        <f t="shared" si="0"/>
        <v>Adolescents</v>
      </c>
      <c r="N15" t="s">
        <v>18</v>
      </c>
    </row>
    <row r="16" spans="1:14" ht="15" customHeight="1">
      <c r="A16">
        <v>45757</v>
      </c>
      <c r="B16" t="s">
        <v>14</v>
      </c>
      <c r="C16" t="s">
        <v>23</v>
      </c>
      <c r="D16" s="7">
        <v>70000</v>
      </c>
      <c r="E16">
        <v>0</v>
      </c>
      <c r="F16" s="1" t="s">
        <v>27</v>
      </c>
      <c r="G16" t="s">
        <v>29</v>
      </c>
      <c r="H16" t="s">
        <v>18</v>
      </c>
      <c r="I16">
        <v>0</v>
      </c>
      <c r="J16" t="s">
        <v>19</v>
      </c>
      <c r="K16" t="s">
        <v>26</v>
      </c>
      <c r="L16">
        <v>76</v>
      </c>
      <c r="M16" s="1" t="str">
        <f t="shared" si="0"/>
        <v>Old</v>
      </c>
      <c r="N16" t="s">
        <v>21</v>
      </c>
    </row>
    <row r="17" spans="1:14">
      <c r="A17">
        <v>80987</v>
      </c>
      <c r="B17" t="s">
        <v>22</v>
      </c>
      <c r="C17" t="s">
        <v>23</v>
      </c>
      <c r="D17" s="7">
        <v>50000</v>
      </c>
      <c r="E17">
        <v>0</v>
      </c>
      <c r="F17" s="1" t="s">
        <v>34</v>
      </c>
      <c r="G17" s="1" t="s">
        <v>29</v>
      </c>
      <c r="H17" t="s">
        <v>21</v>
      </c>
      <c r="I17">
        <v>0</v>
      </c>
      <c r="J17" t="s">
        <v>19</v>
      </c>
      <c r="K17" t="s">
        <v>26</v>
      </c>
      <c r="L17">
        <v>35</v>
      </c>
      <c r="M17" s="1" t="str">
        <f t="shared" si="0"/>
        <v>Middle Age</v>
      </c>
      <c r="N17" t="s">
        <v>18</v>
      </c>
    </row>
    <row r="18" spans="1:14">
      <c r="A18">
        <v>32443</v>
      </c>
      <c r="B18" t="s">
        <v>22</v>
      </c>
      <c r="C18" t="s">
        <v>23</v>
      </c>
      <c r="D18" s="7">
        <v>40000</v>
      </c>
      <c r="E18">
        <v>0</v>
      </c>
      <c r="F18" s="1" t="s">
        <v>27</v>
      </c>
      <c r="G18" t="s">
        <v>25</v>
      </c>
      <c r="H18" t="s">
        <v>18</v>
      </c>
      <c r="I18">
        <v>0</v>
      </c>
      <c r="J18" t="s">
        <v>33</v>
      </c>
      <c r="K18" t="s">
        <v>26</v>
      </c>
      <c r="L18">
        <v>36</v>
      </c>
      <c r="M18" s="1" t="str">
        <f t="shared" si="0"/>
        <v>Middle Age</v>
      </c>
      <c r="N18" t="s">
        <v>21</v>
      </c>
    </row>
    <row r="19" spans="1:14">
      <c r="A19">
        <v>56546</v>
      </c>
      <c r="B19" t="s">
        <v>14</v>
      </c>
      <c r="C19" t="s">
        <v>23</v>
      </c>
      <c r="D19" s="7">
        <v>30000</v>
      </c>
      <c r="E19">
        <v>0</v>
      </c>
      <c r="F19" s="1" t="s">
        <v>24</v>
      </c>
      <c r="G19" t="s">
        <v>25</v>
      </c>
      <c r="H19" t="s">
        <v>18</v>
      </c>
      <c r="I19">
        <v>0</v>
      </c>
      <c r="J19" t="s">
        <v>19</v>
      </c>
      <c r="K19" t="s">
        <v>20</v>
      </c>
      <c r="L19">
        <v>37</v>
      </c>
      <c r="M19" s="1" t="str">
        <f t="shared" si="0"/>
        <v>Middle Age</v>
      </c>
      <c r="N19" t="s">
        <v>18</v>
      </c>
    </row>
    <row r="20" spans="1:14">
      <c r="A20">
        <v>67543</v>
      </c>
      <c r="B20" t="s">
        <v>14</v>
      </c>
      <c r="C20" t="s">
        <v>15</v>
      </c>
      <c r="D20" s="7">
        <v>20000</v>
      </c>
      <c r="E20">
        <v>2</v>
      </c>
      <c r="F20" s="1" t="s">
        <v>27</v>
      </c>
      <c r="G20" s="1" t="s">
        <v>35</v>
      </c>
      <c r="H20" t="s">
        <v>21</v>
      </c>
      <c r="I20">
        <v>2</v>
      </c>
      <c r="J20" t="s">
        <v>33</v>
      </c>
      <c r="K20" t="s">
        <v>20</v>
      </c>
      <c r="L20">
        <v>23</v>
      </c>
      <c r="M20" s="1" t="str">
        <f t="shared" si="0"/>
        <v>Adolescents</v>
      </c>
      <c r="N20" t="s">
        <v>21</v>
      </c>
    </row>
    <row r="21" spans="1:14">
      <c r="A21">
        <v>98765</v>
      </c>
      <c r="B21" t="s">
        <v>14</v>
      </c>
      <c r="C21" t="s">
        <v>15</v>
      </c>
      <c r="D21" s="7">
        <v>80000</v>
      </c>
      <c r="E21">
        <v>3</v>
      </c>
      <c r="F21" s="1" t="s">
        <v>34</v>
      </c>
      <c r="G21" s="1" t="s">
        <v>32</v>
      </c>
      <c r="H21" t="s">
        <v>18</v>
      </c>
      <c r="I21">
        <v>3</v>
      </c>
      <c r="J21" t="s">
        <v>36</v>
      </c>
      <c r="K21" t="s">
        <v>20</v>
      </c>
      <c r="L21">
        <v>35</v>
      </c>
      <c r="M21" s="1" t="str">
        <f t="shared" si="0"/>
        <v>Middle Age</v>
      </c>
      <c r="N21" t="s">
        <v>18</v>
      </c>
    </row>
    <row r="22" spans="1:14">
      <c r="A22">
        <v>45321</v>
      </c>
      <c r="B22" t="s">
        <v>14</v>
      </c>
      <c r="C22" t="s">
        <v>23</v>
      </c>
      <c r="D22" s="7">
        <v>90000</v>
      </c>
      <c r="E22">
        <v>2</v>
      </c>
      <c r="F22" s="1" t="s">
        <v>27</v>
      </c>
      <c r="G22" s="1" t="s">
        <v>32</v>
      </c>
      <c r="H22" t="s">
        <v>21</v>
      </c>
      <c r="I22">
        <v>2</v>
      </c>
      <c r="J22" t="s">
        <v>33</v>
      </c>
      <c r="K22" t="s">
        <v>26</v>
      </c>
      <c r="L22">
        <v>57</v>
      </c>
      <c r="M22" s="1" t="str">
        <f t="shared" si="0"/>
        <v>Old</v>
      </c>
      <c r="N22" t="s">
        <v>21</v>
      </c>
    </row>
    <row r="23" spans="1:14">
      <c r="A23">
        <v>86756</v>
      </c>
      <c r="B23" t="s">
        <v>14</v>
      </c>
      <c r="C23" t="s">
        <v>23</v>
      </c>
      <c r="D23" s="7">
        <v>70000</v>
      </c>
      <c r="E23">
        <v>3</v>
      </c>
      <c r="F23" t="s">
        <v>24</v>
      </c>
      <c r="G23" s="1" t="s">
        <v>32</v>
      </c>
      <c r="H23" t="s">
        <v>18</v>
      </c>
      <c r="I23">
        <v>3</v>
      </c>
      <c r="J23" t="s">
        <v>19</v>
      </c>
      <c r="K23" t="s">
        <v>20</v>
      </c>
      <c r="L23">
        <v>56</v>
      </c>
      <c r="M23" s="1" t="str">
        <f t="shared" si="0"/>
        <v>Old</v>
      </c>
      <c r="N23" t="s">
        <v>18</v>
      </c>
    </row>
    <row r="24" spans="1:14">
      <c r="A24">
        <v>67565</v>
      </c>
      <c r="B24" t="s">
        <v>22</v>
      </c>
      <c r="C24" t="s">
        <v>15</v>
      </c>
      <c r="D24" s="7">
        <v>56000</v>
      </c>
      <c r="E24">
        <v>0</v>
      </c>
      <c r="F24" t="s">
        <v>34</v>
      </c>
      <c r="G24" s="1" t="s">
        <v>32</v>
      </c>
      <c r="H24" t="s">
        <v>21</v>
      </c>
      <c r="I24">
        <v>0</v>
      </c>
      <c r="J24" t="s">
        <v>30</v>
      </c>
      <c r="K24" t="s">
        <v>26</v>
      </c>
      <c r="L24">
        <v>59</v>
      </c>
      <c r="M24" s="1" t="str">
        <f t="shared" si="0"/>
        <v>Old</v>
      </c>
      <c r="N24" t="s">
        <v>18</v>
      </c>
    </row>
    <row r="25" spans="1:14">
      <c r="M25" s="1"/>
    </row>
    <row r="26" spans="1:14">
      <c r="M26" s="1"/>
    </row>
    <row r="27" spans="1:14">
      <c r="M27" s="1"/>
    </row>
    <row r="28" spans="1:14">
      <c r="M28" s="1"/>
    </row>
    <row r="29" spans="1:14">
      <c r="M29" s="1"/>
    </row>
    <row r="30" spans="1:14">
      <c r="M30" s="1"/>
    </row>
    <row r="31" spans="1:14">
      <c r="M31" s="1"/>
    </row>
    <row r="32" spans="1:14">
      <c r="M32" s="1"/>
    </row>
    <row r="33" spans="13:13">
      <c r="M33" s="1"/>
    </row>
    <row r="34" spans="13:13">
      <c r="M34" s="1"/>
    </row>
    <row r="35" spans="13:13">
      <c r="M35" s="1"/>
    </row>
    <row r="36" spans="13:13">
      <c r="M36" s="1"/>
    </row>
    <row r="37" spans="13:13">
      <c r="M37" s="1"/>
    </row>
  </sheetData>
  <autoFilter ref="A1:N24" xr:uid="{38EFD788-D14E-4101-9A2F-81F3C1FC09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60CD-28D4-4B81-BC0D-87708C8C37EF}">
  <dimension ref="A1:H81"/>
  <sheetViews>
    <sheetView topLeftCell="A8" workbookViewId="0">
      <selection activeCell="D17" sqref="D17"/>
    </sheetView>
  </sheetViews>
  <sheetFormatPr defaultRowHeight="15"/>
  <cols>
    <col min="1" max="1" width="22.42578125" bestFit="1" customWidth="1"/>
    <col min="2" max="2" width="17.5703125" bestFit="1" customWidth="1"/>
    <col min="3" max="3" width="3.85546875" customWidth="1"/>
    <col min="4" max="4" width="11.42578125" bestFit="1" customWidth="1"/>
    <col min="5" max="5" width="6" bestFit="1" customWidth="1"/>
    <col min="6" max="6" width="4.5703125" bestFit="1" customWidth="1"/>
    <col min="7" max="7" width="6.7109375" bestFit="1" customWidth="1"/>
    <col min="8" max="8" width="5.42578125" bestFit="1" customWidth="1"/>
    <col min="9" max="9" width="6" bestFit="1" customWidth="1"/>
    <col min="10" max="10" width="4.7109375" bestFit="1" customWidth="1"/>
    <col min="11" max="11" width="6.28515625" bestFit="1" customWidth="1"/>
    <col min="12" max="12" width="5.140625" bestFit="1" customWidth="1"/>
    <col min="13" max="13" width="5.7109375" bestFit="1" customWidth="1"/>
    <col min="14" max="14" width="7.140625" bestFit="1" customWidth="1"/>
    <col min="15" max="15" width="17.5703125" bestFit="1" customWidth="1"/>
    <col min="16" max="16" width="6.140625" bestFit="1" customWidth="1"/>
    <col min="17" max="17" width="5.7109375" bestFit="1" customWidth="1"/>
    <col min="18" max="18" width="7.85546875" bestFit="1" customWidth="1"/>
    <col min="19" max="19" width="6" bestFit="1" customWidth="1"/>
    <col min="20" max="20" width="4.5703125" bestFit="1" customWidth="1"/>
    <col min="21" max="21" width="6.7109375" bestFit="1" customWidth="1"/>
    <col min="22" max="22" width="5.42578125" bestFit="1" customWidth="1"/>
    <col min="23" max="23" width="6" bestFit="1" customWidth="1"/>
    <col min="24" max="24" width="4.7109375" bestFit="1" customWidth="1"/>
    <col min="25" max="25" width="6.28515625" bestFit="1" customWidth="1"/>
    <col min="26" max="26" width="5.140625" bestFit="1" customWidth="1"/>
    <col min="27" max="27" width="5.7109375" bestFit="1" customWidth="1"/>
    <col min="28" max="28" width="7.140625" bestFit="1" customWidth="1"/>
    <col min="29" max="29" width="17.28515625" bestFit="1" customWidth="1"/>
    <col min="30" max="30" width="6.140625" bestFit="1" customWidth="1"/>
    <col min="31" max="31" width="5.7109375" bestFit="1" customWidth="1"/>
    <col min="32" max="32" width="7.85546875" bestFit="1" customWidth="1"/>
    <col min="33" max="33" width="6" bestFit="1" customWidth="1"/>
    <col min="34" max="34" width="4.5703125" bestFit="1" customWidth="1"/>
    <col min="35" max="35" width="6.7109375" bestFit="1" customWidth="1"/>
    <col min="36" max="36" width="5.42578125" bestFit="1" customWidth="1"/>
    <col min="37" max="37" width="6" bestFit="1" customWidth="1"/>
    <col min="38" max="38" width="4.7109375" bestFit="1" customWidth="1"/>
    <col min="39" max="39" width="6.28515625" bestFit="1" customWidth="1"/>
    <col min="40" max="40" width="5.140625" bestFit="1" customWidth="1"/>
    <col min="41" max="41" width="5.7109375" bestFit="1" customWidth="1"/>
    <col min="42" max="42" width="7.140625" bestFit="1" customWidth="1"/>
    <col min="43" max="43" width="21.7109375" bestFit="1" customWidth="1"/>
    <col min="44" max="44" width="22.5703125" bestFit="1" customWidth="1"/>
    <col min="45" max="45" width="22.28515625" bestFit="1" customWidth="1"/>
  </cols>
  <sheetData>
    <row r="1" spans="1:5">
      <c r="A1" s="5" t="s">
        <v>37</v>
      </c>
      <c r="B1" s="5" t="s">
        <v>13</v>
      </c>
    </row>
    <row r="2" spans="1:5">
      <c r="A2" s="5" t="s">
        <v>2</v>
      </c>
      <c r="B2" t="s">
        <v>21</v>
      </c>
      <c r="C2" t="s">
        <v>18</v>
      </c>
      <c r="D2" t="s">
        <v>38</v>
      </c>
    </row>
    <row r="3" spans="1:5">
      <c r="A3" t="s">
        <v>23</v>
      </c>
      <c r="B3" s="9">
        <v>64600</v>
      </c>
      <c r="C3" s="9">
        <v>44571.428571428572</v>
      </c>
      <c r="D3" s="9">
        <v>52916.666666666664</v>
      </c>
    </row>
    <row r="4" spans="1:5">
      <c r="A4" t="s">
        <v>15</v>
      </c>
      <c r="B4" s="9">
        <v>50500</v>
      </c>
      <c r="C4" s="9">
        <v>65400</v>
      </c>
      <c r="D4" s="9">
        <v>57272.727272727272</v>
      </c>
    </row>
    <row r="5" spans="1:5">
      <c r="A5" t="s">
        <v>38</v>
      </c>
      <c r="B5" s="9">
        <v>56909.090909090912</v>
      </c>
      <c r="C5" s="9">
        <v>53250</v>
      </c>
      <c r="D5" s="9">
        <v>55000</v>
      </c>
      <c r="E5" s="4"/>
    </row>
    <row r="6" spans="1:5">
      <c r="E6" s="4"/>
    </row>
    <row r="7" spans="1:5">
      <c r="E7" s="4"/>
    </row>
    <row r="8" spans="1:5">
      <c r="E8" s="4"/>
    </row>
    <row r="9" spans="1:5">
      <c r="E9" s="4"/>
    </row>
    <row r="10" spans="1:5">
      <c r="E10" s="4"/>
    </row>
    <row r="11" spans="1:5">
      <c r="E11" s="4"/>
    </row>
    <row r="12" spans="1:5">
      <c r="E12" s="4"/>
    </row>
    <row r="13" spans="1:5">
      <c r="E13" s="4"/>
    </row>
    <row r="14" spans="1:5">
      <c r="E14" s="4"/>
    </row>
    <row r="15" spans="1:5">
      <c r="E15" s="4"/>
    </row>
    <row r="16" spans="1:5">
      <c r="E16" s="4"/>
    </row>
    <row r="17" spans="1:5">
      <c r="D17" s="3"/>
      <c r="E17" s="4"/>
    </row>
    <row r="18" spans="1:5">
      <c r="D18" s="3"/>
      <c r="E18" s="4"/>
    </row>
    <row r="19" spans="1:5">
      <c r="A19" s="2"/>
      <c r="B19" s="2"/>
      <c r="C19" s="2"/>
      <c r="D19" s="3"/>
      <c r="E19" s="4"/>
    </row>
    <row r="20" spans="1:5">
      <c r="A20" s="2"/>
      <c r="B20" s="2"/>
      <c r="C20" s="2"/>
      <c r="D20" s="3"/>
      <c r="E20" s="4"/>
    </row>
    <row r="21" spans="1:5">
      <c r="A21" s="5" t="s">
        <v>39</v>
      </c>
      <c r="B21" s="5" t="s">
        <v>13</v>
      </c>
      <c r="E21" s="4"/>
    </row>
    <row r="22" spans="1:5">
      <c r="A22" s="5" t="s">
        <v>9</v>
      </c>
      <c r="B22" t="s">
        <v>21</v>
      </c>
      <c r="C22" t="s">
        <v>18</v>
      </c>
      <c r="D22" t="s">
        <v>38</v>
      </c>
      <c r="E22" s="4"/>
    </row>
    <row r="23" spans="1:5">
      <c r="A23" t="s">
        <v>19</v>
      </c>
      <c r="B23" s="2">
        <v>5</v>
      </c>
      <c r="C23" s="2">
        <v>6</v>
      </c>
      <c r="D23" s="2">
        <v>11</v>
      </c>
      <c r="E23" s="4"/>
    </row>
    <row r="24" spans="1:5">
      <c r="A24" t="s">
        <v>33</v>
      </c>
      <c r="B24" s="2">
        <v>4</v>
      </c>
      <c r="C24" s="2">
        <v>2</v>
      </c>
      <c r="D24" s="2">
        <v>6</v>
      </c>
      <c r="E24" s="4"/>
    </row>
    <row r="25" spans="1:5">
      <c r="A25" t="s">
        <v>28</v>
      </c>
      <c r="B25" s="2"/>
      <c r="C25" s="2">
        <v>1</v>
      </c>
      <c r="D25" s="2">
        <v>1</v>
      </c>
      <c r="E25" s="4"/>
    </row>
    <row r="26" spans="1:5">
      <c r="A26" t="s">
        <v>30</v>
      </c>
      <c r="B26" s="2">
        <v>1</v>
      </c>
      <c r="C26" s="2">
        <v>2</v>
      </c>
      <c r="D26" s="2">
        <v>3</v>
      </c>
      <c r="E26" s="4"/>
    </row>
    <row r="27" spans="1:5">
      <c r="A27" t="s">
        <v>36</v>
      </c>
      <c r="B27" s="2">
        <v>1</v>
      </c>
      <c r="C27" s="2">
        <v>1</v>
      </c>
      <c r="D27" s="2">
        <v>2</v>
      </c>
      <c r="E27" s="4"/>
    </row>
    <row r="28" spans="1:5">
      <c r="A28" t="s">
        <v>38</v>
      </c>
      <c r="B28" s="2">
        <v>11</v>
      </c>
      <c r="C28" s="2">
        <v>12</v>
      </c>
      <c r="D28" s="2">
        <v>23</v>
      </c>
      <c r="E28" s="4"/>
    </row>
    <row r="29" spans="1:5">
      <c r="D29" s="3"/>
      <c r="E29" s="4"/>
    </row>
    <row r="30" spans="1:5">
      <c r="D30" s="3"/>
      <c r="E30" s="4"/>
    </row>
    <row r="31" spans="1:5">
      <c r="D31" s="3"/>
      <c r="E31" s="4"/>
    </row>
    <row r="32" spans="1:5">
      <c r="D32" s="3"/>
      <c r="E32" s="4"/>
    </row>
    <row r="33" spans="1:5">
      <c r="D33" s="3"/>
      <c r="E33" s="4"/>
    </row>
    <row r="34" spans="1:5">
      <c r="D34" s="3"/>
      <c r="E34" s="4"/>
    </row>
    <row r="35" spans="1:5">
      <c r="D35" s="3"/>
      <c r="E35" s="4"/>
    </row>
    <row r="36" spans="1:5">
      <c r="D36" s="3"/>
      <c r="E36" s="4"/>
    </row>
    <row r="37" spans="1:5">
      <c r="D37" s="3"/>
      <c r="E37" s="4"/>
    </row>
    <row r="38" spans="1:5">
      <c r="D38" s="3"/>
      <c r="E38" s="4"/>
    </row>
    <row r="39" spans="1:5">
      <c r="A39" s="2"/>
      <c r="B39" s="2"/>
      <c r="C39" s="2"/>
      <c r="D39" s="3"/>
      <c r="E39" s="4"/>
    </row>
    <row r="40" spans="1:5">
      <c r="A40" s="2"/>
      <c r="B40" s="2"/>
      <c r="C40" s="2"/>
      <c r="D40" s="3"/>
      <c r="E40" s="4"/>
    </row>
    <row r="41" spans="1:5">
      <c r="A41" s="5" t="s">
        <v>39</v>
      </c>
      <c r="B41" s="5" t="s">
        <v>13</v>
      </c>
      <c r="E41" s="4"/>
    </row>
    <row r="42" spans="1:5">
      <c r="A42" s="5" t="s">
        <v>12</v>
      </c>
      <c r="B42" t="s">
        <v>21</v>
      </c>
      <c r="C42" t="s">
        <v>18</v>
      </c>
      <c r="D42" t="s">
        <v>38</v>
      </c>
      <c r="E42" s="4"/>
    </row>
    <row r="43" spans="1:5">
      <c r="A43" t="s">
        <v>40</v>
      </c>
      <c r="B43" s="2">
        <v>2</v>
      </c>
      <c r="C43" s="2">
        <v>2</v>
      </c>
      <c r="D43" s="2">
        <v>4</v>
      </c>
      <c r="E43" s="4"/>
    </row>
    <row r="44" spans="1:5">
      <c r="A44" t="s">
        <v>41</v>
      </c>
      <c r="B44" s="2">
        <v>4</v>
      </c>
      <c r="C44" s="2">
        <v>7</v>
      </c>
      <c r="D44" s="2">
        <v>11</v>
      </c>
      <c r="E44" s="4"/>
    </row>
    <row r="45" spans="1:5">
      <c r="A45" t="s">
        <v>42</v>
      </c>
      <c r="B45" s="2">
        <v>5</v>
      </c>
      <c r="C45" s="2">
        <v>3</v>
      </c>
      <c r="D45" s="2">
        <v>8</v>
      </c>
      <c r="E45" s="4"/>
    </row>
    <row r="46" spans="1:5">
      <c r="A46" t="s">
        <v>38</v>
      </c>
      <c r="B46" s="2">
        <v>11</v>
      </c>
      <c r="C46" s="2">
        <v>12</v>
      </c>
      <c r="D46" s="2">
        <v>23</v>
      </c>
      <c r="E46" s="4"/>
    </row>
    <row r="47" spans="1:5">
      <c r="D47" s="3"/>
      <c r="E47" s="4"/>
    </row>
    <row r="48" spans="1:5">
      <c r="D48" s="3"/>
      <c r="E48" s="4"/>
    </row>
    <row r="49" spans="1:5">
      <c r="D49" s="3"/>
      <c r="E49" s="4"/>
    </row>
    <row r="50" spans="1:5">
      <c r="D50" s="3"/>
      <c r="E50" s="4"/>
    </row>
    <row r="51" spans="1:5">
      <c r="D51" s="3"/>
      <c r="E51" s="4"/>
    </row>
    <row r="52" spans="1:5">
      <c r="D52" s="3"/>
      <c r="E52" s="4"/>
    </row>
    <row r="53" spans="1:5">
      <c r="D53" s="3"/>
      <c r="E53" s="4"/>
    </row>
    <row r="54" spans="1:5">
      <c r="D54" s="3"/>
      <c r="E54" s="4"/>
    </row>
    <row r="55" spans="1:5">
      <c r="D55" s="3"/>
      <c r="E55" s="4"/>
    </row>
    <row r="56" spans="1:5">
      <c r="D56" s="3"/>
      <c r="E56" s="4"/>
    </row>
    <row r="57" spans="1:5">
      <c r="D57" s="3"/>
      <c r="E57" s="4"/>
    </row>
    <row r="58" spans="1:5">
      <c r="D58" s="3"/>
      <c r="E58" s="4"/>
    </row>
    <row r="59" spans="1:5">
      <c r="A59" s="2"/>
      <c r="B59" s="2"/>
      <c r="C59" s="2"/>
      <c r="D59" s="3"/>
      <c r="E59" s="4"/>
    </row>
    <row r="60" spans="1:5">
      <c r="A60" s="2"/>
      <c r="B60" s="2"/>
      <c r="C60" s="2"/>
      <c r="D60" s="3"/>
      <c r="E60" s="4"/>
    </row>
    <row r="61" spans="1:5">
      <c r="A61" s="2"/>
      <c r="B61" s="2"/>
      <c r="C61" s="2"/>
      <c r="D61" s="3"/>
      <c r="E61" s="4"/>
    </row>
    <row r="62" spans="1:5">
      <c r="A62" s="2"/>
      <c r="B62" s="2"/>
      <c r="C62" s="2"/>
      <c r="D62" s="3"/>
      <c r="E62" s="4"/>
    </row>
    <row r="63" spans="1:5">
      <c r="A63" s="2"/>
      <c r="B63" s="2"/>
      <c r="C63" s="2"/>
      <c r="D63" s="3"/>
      <c r="E63" s="4"/>
    </row>
    <row r="64" spans="1:5">
      <c r="A64" s="5" t="s">
        <v>39</v>
      </c>
      <c r="B64" s="5" t="s">
        <v>13</v>
      </c>
      <c r="E64" s="4"/>
    </row>
    <row r="65" spans="1:8">
      <c r="A65" s="5" t="s">
        <v>11</v>
      </c>
      <c r="B65" t="s">
        <v>21</v>
      </c>
      <c r="C65" t="s">
        <v>18</v>
      </c>
      <c r="D65" t="s">
        <v>38</v>
      </c>
      <c r="E65" s="4"/>
    </row>
    <row r="66" spans="1:8">
      <c r="A66">
        <v>21</v>
      </c>
      <c r="B66" s="2"/>
      <c r="C66" s="2">
        <v>1</v>
      </c>
      <c r="D66" s="2">
        <v>1</v>
      </c>
      <c r="E66" s="4"/>
    </row>
    <row r="67" spans="1:8">
      <c r="A67">
        <v>22</v>
      </c>
      <c r="B67" s="2">
        <v>1</v>
      </c>
      <c r="C67" s="2"/>
      <c r="D67" s="2">
        <v>1</v>
      </c>
      <c r="E67" s="4"/>
    </row>
    <row r="68" spans="1:8">
      <c r="A68">
        <v>23</v>
      </c>
      <c r="B68" s="2">
        <v>1</v>
      </c>
      <c r="C68" s="2"/>
      <c r="D68" s="2">
        <v>1</v>
      </c>
      <c r="E68" s="4"/>
    </row>
    <row r="69" spans="1:8">
      <c r="A69">
        <v>29</v>
      </c>
      <c r="B69" s="2"/>
      <c r="C69" s="2">
        <v>1</v>
      </c>
      <c r="D69" s="2">
        <v>1</v>
      </c>
      <c r="E69" s="4"/>
    </row>
    <row r="70" spans="1:8">
      <c r="A70">
        <v>34</v>
      </c>
      <c r="B70" s="2"/>
      <c r="C70" s="2">
        <v>1</v>
      </c>
      <c r="D70" s="2">
        <v>1</v>
      </c>
      <c r="E70" s="4"/>
    </row>
    <row r="71" spans="1:8">
      <c r="A71">
        <v>35</v>
      </c>
      <c r="B71" s="2"/>
      <c r="C71" s="2">
        <v>2</v>
      </c>
      <c r="D71" s="2">
        <v>2</v>
      </c>
      <c r="E71" s="4"/>
    </row>
    <row r="72" spans="1:8">
      <c r="A72">
        <v>36</v>
      </c>
      <c r="B72" s="2">
        <v>1</v>
      </c>
      <c r="C72" s="2"/>
      <c r="D72" s="2">
        <v>1</v>
      </c>
      <c r="E72" s="4"/>
    </row>
    <row r="73" spans="1:8">
      <c r="A73">
        <v>37</v>
      </c>
      <c r="B73" s="2"/>
      <c r="C73" s="2">
        <v>1</v>
      </c>
      <c r="D73" s="2">
        <v>1</v>
      </c>
      <c r="E73" s="4"/>
    </row>
    <row r="74" spans="1:8">
      <c r="A74">
        <v>43</v>
      </c>
      <c r="B74" s="2"/>
      <c r="C74" s="2">
        <v>1</v>
      </c>
      <c r="D74" s="2">
        <v>1</v>
      </c>
      <c r="E74" s="4"/>
    </row>
    <row r="75" spans="1:8">
      <c r="A75">
        <v>54</v>
      </c>
      <c r="B75" s="2">
        <v>3</v>
      </c>
      <c r="C75" s="2">
        <v>2</v>
      </c>
      <c r="D75" s="2">
        <v>5</v>
      </c>
      <c r="E75" s="4"/>
    </row>
    <row r="76" spans="1:8">
      <c r="A76">
        <v>56</v>
      </c>
      <c r="B76" s="2">
        <v>2</v>
      </c>
      <c r="C76" s="2">
        <v>2</v>
      </c>
      <c r="D76" s="2">
        <v>4</v>
      </c>
      <c r="E76" s="4"/>
    </row>
    <row r="77" spans="1:8">
      <c r="A77">
        <v>57</v>
      </c>
      <c r="B77" s="2">
        <v>1</v>
      </c>
      <c r="C77" s="2"/>
      <c r="D77" s="2">
        <v>1</v>
      </c>
    </row>
    <row r="78" spans="1:8">
      <c r="A78">
        <v>59</v>
      </c>
      <c r="B78" s="2"/>
      <c r="C78" s="2">
        <v>1</v>
      </c>
      <c r="D78" s="2">
        <v>1</v>
      </c>
    </row>
    <row r="79" spans="1:8">
      <c r="A79">
        <v>67</v>
      </c>
      <c r="B79" s="2">
        <v>1</v>
      </c>
      <c r="C79" s="2"/>
      <c r="D79" s="2">
        <v>1</v>
      </c>
      <c r="H79" t="s">
        <v>43</v>
      </c>
    </row>
    <row r="80" spans="1:8">
      <c r="A80">
        <v>76</v>
      </c>
      <c r="B80" s="2">
        <v>1</v>
      </c>
      <c r="C80" s="2"/>
      <c r="D80" s="2">
        <v>1</v>
      </c>
    </row>
    <row r="81" spans="1:4">
      <c r="A81" t="s">
        <v>38</v>
      </c>
      <c r="B81" s="2">
        <v>11</v>
      </c>
      <c r="C81" s="2">
        <v>12</v>
      </c>
      <c r="D81" s="2">
        <v>23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96AC-0F19-443F-B9A3-DD4507915F2A}">
  <dimension ref="A1:X7"/>
  <sheetViews>
    <sheetView showGridLines="0" workbookViewId="0">
      <selection activeCell="B10" sqref="B10"/>
    </sheetView>
  </sheetViews>
  <sheetFormatPr defaultRowHeight="15"/>
  <cols>
    <col min="4" max="4" width="11.140625" bestFit="1" customWidth="1"/>
    <col min="24" max="24" width="8.85546875" customWidth="1"/>
  </cols>
  <sheetData>
    <row r="1" spans="1:24" ht="15" customHeight="1">
      <c r="A1" s="11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0"/>
      <c r="Q1" s="10"/>
      <c r="R1" s="10"/>
      <c r="S1" s="10"/>
      <c r="T1" s="10"/>
      <c r="U1" s="10"/>
      <c r="V1" s="10"/>
      <c r="W1" s="10"/>
      <c r="X1" s="10"/>
    </row>
    <row r="2" spans="1:24" ht="1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0"/>
      <c r="Q2" s="10"/>
      <c r="R2" s="10"/>
      <c r="S2" s="10"/>
      <c r="T2" s="10"/>
      <c r="U2" s="10"/>
      <c r="V2" s="10"/>
      <c r="W2" s="10"/>
      <c r="X2" s="10"/>
    </row>
    <row r="3" spans="1:24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0"/>
      <c r="Q3" s="10"/>
      <c r="R3" s="10"/>
      <c r="S3" s="10"/>
      <c r="T3" s="10"/>
      <c r="U3" s="10"/>
      <c r="V3" s="10"/>
      <c r="W3" s="10"/>
      <c r="X3" s="10"/>
    </row>
    <row r="4" spans="1:24" ht="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0"/>
      <c r="Q4" s="10"/>
      <c r="R4" s="10"/>
      <c r="S4" s="10"/>
      <c r="T4" s="10"/>
      <c r="U4" s="10"/>
      <c r="V4" s="10"/>
      <c r="W4" s="10"/>
      <c r="X4" s="10"/>
    </row>
    <row r="5" spans="1:24" ht="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0"/>
      <c r="Q5" s="10"/>
      <c r="R5" s="10"/>
      <c r="S5" s="10"/>
      <c r="T5" s="10"/>
      <c r="U5" s="10"/>
      <c r="V5" s="10"/>
      <c r="W5" s="10"/>
      <c r="X5" s="10"/>
    </row>
    <row r="6" spans="1:24" ht="1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0"/>
      <c r="Q6" s="10"/>
      <c r="R6" s="10"/>
      <c r="S6" s="10"/>
      <c r="T6" s="10"/>
      <c r="U6" s="10"/>
      <c r="V6" s="10"/>
      <c r="W6" s="10"/>
      <c r="X6" s="10"/>
    </row>
    <row r="7" spans="1:24" ht="1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0"/>
      <c r="Q7" s="10"/>
      <c r="R7" s="10"/>
      <c r="S7" s="10"/>
      <c r="T7" s="10"/>
      <c r="U7" s="10"/>
      <c r="V7" s="10"/>
      <c r="W7" s="10"/>
      <c r="X7" s="10"/>
    </row>
  </sheetData>
  <mergeCells count="1">
    <mergeCell ref="A1:O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Reeti Keshari</cp:lastModifiedBy>
  <cp:revision/>
  <dcterms:created xsi:type="dcterms:W3CDTF">2026-05-29T09:28:49Z</dcterms:created>
  <dcterms:modified xsi:type="dcterms:W3CDTF">2026-06-03T10:57:35Z</dcterms:modified>
  <cp:category/>
  <cp:contentStatus/>
</cp:coreProperties>
</file>